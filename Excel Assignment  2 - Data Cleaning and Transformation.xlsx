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hitha\Desktop\"/>
    </mc:Choice>
  </mc:AlternateContent>
  <xr:revisionPtr revIDLastSave="0" documentId="13_ncr:1_{053CD952-0BC6-45E7-A8CD-4BE2EE99031D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Instructions" sheetId="1" r:id="rId1"/>
    <sheet name="Dataset" sheetId="2" r:id="rId2"/>
    <sheet name="question 1" sheetId="3" r:id="rId3"/>
    <sheet name="question 2" sheetId="9" r:id="rId4"/>
    <sheet name="question3" sheetId="5" r:id="rId5"/>
    <sheet name="question 4" sheetId="10" r:id="rId6"/>
    <sheet name="question5" sheetId="11" r:id="rId7"/>
    <sheet name="question 6" sheetId="12" r:id="rId8"/>
  </sheets>
  <definedNames>
    <definedName name="ExternalData_1" localSheetId="3" hidden="1">'question 2'!$A$1:$F$35</definedName>
  </definedNames>
  <calcPr calcId="191029"/>
</workbook>
</file>

<file path=xl/calcChain.xml><?xml version="1.0" encoding="utf-8"?>
<calcChain xmlns="http://schemas.openxmlformats.org/spreadsheetml/2006/main">
  <c r="H18" i="11" l="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14" i="11"/>
  <c r="H15" i="11"/>
  <c r="H16" i="11"/>
  <c r="H17" i="11"/>
  <c r="H3" i="11"/>
  <c r="H4" i="11"/>
  <c r="H5" i="11"/>
  <c r="H6" i="11"/>
  <c r="H7" i="11"/>
  <c r="H8" i="11"/>
  <c r="H9" i="11"/>
  <c r="H10" i="11"/>
  <c r="H11" i="11"/>
  <c r="H12" i="11"/>
  <c r="H13" i="11"/>
  <c r="H2" i="11"/>
  <c r="I22" i="10"/>
  <c r="I23" i="10"/>
  <c r="I24" i="10"/>
  <c r="I25" i="10"/>
  <c r="I26" i="10"/>
  <c r="I27" i="10"/>
  <c r="I28" i="10"/>
  <c r="I29" i="10"/>
  <c r="I30" i="10"/>
  <c r="I31" i="10"/>
  <c r="I3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" i="10"/>
  <c r="G22" i="10"/>
  <c r="G23" i="10"/>
  <c r="G24" i="10"/>
  <c r="G25" i="10"/>
  <c r="G26" i="10"/>
  <c r="G27" i="10"/>
  <c r="G28" i="10"/>
  <c r="G29" i="10"/>
  <c r="G30" i="10"/>
  <c r="G31" i="10"/>
  <c r="G32" i="10"/>
  <c r="G15" i="10"/>
  <c r="G16" i="10"/>
  <c r="G17" i="10"/>
  <c r="G18" i="10"/>
  <c r="G19" i="10"/>
  <c r="G20" i="10"/>
  <c r="G21" i="10"/>
  <c r="G3" i="10"/>
  <c r="G4" i="10"/>
  <c r="G5" i="10"/>
  <c r="G6" i="10"/>
  <c r="G7" i="10"/>
  <c r="G8" i="10"/>
  <c r="G9" i="10"/>
  <c r="G10" i="10"/>
  <c r="G11" i="10"/>
  <c r="G12" i="10"/>
  <c r="G13" i="10"/>
  <c r="G14" i="10"/>
  <c r="G2" i="10"/>
  <c r="H17" i="3"/>
  <c r="H18" i="3"/>
  <c r="H19" i="3"/>
  <c r="H20" i="3"/>
  <c r="H21" i="3"/>
  <c r="H22" i="3"/>
  <c r="H23" i="3"/>
  <c r="H25" i="3"/>
  <c r="H26" i="3"/>
  <c r="H27" i="3"/>
  <c r="H28" i="3"/>
  <c r="H29" i="3"/>
  <c r="H30" i="3"/>
  <c r="H31" i="3"/>
  <c r="H32" i="3"/>
  <c r="H33" i="3"/>
  <c r="H34" i="3"/>
  <c r="H35" i="3"/>
  <c r="H36" i="3"/>
  <c r="H3" i="3"/>
  <c r="H4" i="3"/>
  <c r="H5" i="3"/>
  <c r="H7" i="3"/>
  <c r="H8" i="3"/>
  <c r="H9" i="3"/>
  <c r="H10" i="3"/>
  <c r="H11" i="3"/>
  <c r="H12" i="3"/>
  <c r="H15" i="3"/>
  <c r="H16" i="3"/>
  <c r="H2" i="3"/>
  <c r="K20" i="3"/>
  <c r="G2" i="3"/>
  <c r="I9" i="3"/>
  <c r="I5" i="3"/>
  <c r="G34" i="3"/>
  <c r="G35" i="3"/>
  <c r="G28" i="3"/>
  <c r="G29" i="3"/>
  <c r="G30" i="3"/>
  <c r="G31" i="3"/>
  <c r="G32" i="3"/>
  <c r="G33" i="3"/>
  <c r="G27" i="3"/>
  <c r="G26" i="3"/>
  <c r="G19" i="3"/>
  <c r="G20" i="3"/>
  <c r="G21" i="3"/>
  <c r="G22" i="3"/>
  <c r="G23" i="3"/>
  <c r="G24" i="3"/>
  <c r="G2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3486EF-0020-468A-ADD1-BD9202E1B4DE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<sst xmlns="http://schemas.openxmlformats.org/spreadsheetml/2006/main" count="994" uniqueCount="151">
  <si>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</si>
  <si>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</si>
  <si>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</si>
  <si>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</si>
  <si>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</si>
  <si>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</si>
  <si>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</si>
  <si>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</si>
  <si>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</si>
  <si>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</si>
  <si>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</si>
  <si>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</si>
  <si>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</si>
  <si>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</si>
  <si>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</si>
  <si>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</si>
  <si>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</si>
  <si>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</si>
  <si>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</si>
  <si>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</si>
  <si>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</si>
  <si>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</si>
  <si>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</si>
  <si>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</si>
  <si>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</si>
  <si>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</si>
  <si>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</si>
  <si>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</si>
  <si>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</si>
  <si>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</si>
  <si>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</si>
  <si>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</si>
  <si>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</si>
  <si>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</si>
  <si>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</si>
  <si>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</si>
  <si>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</si>
  <si>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</si>
  <si>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</si>
  <si>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</si>
  <si>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</si>
  <si>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</si>
  <si>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</si>
  <si>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</si>
  <si>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</si>
  <si>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</si>
  <si>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</si>
  <si>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</si>
  <si>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</si>
  <si>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</si>
  <si>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</si>
  <si>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</si>
  <si>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</si>
  <si>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</si>
  <si>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</si>
  <si>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</si>
  <si>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</si>
  <si>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</si>
  <si>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</si>
  <si>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</si>
  <si>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</si>
  <si>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</si>
  <si>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</si>
  <si>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</si>
  <si>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</si>
  <si>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</si>
  <si>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</si>
  <si>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</si>
  <si>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</si>
  <si>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</si>
  <si>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</si>
  <si>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</si>
  <si>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</si>
  <si>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</si>
  <si>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</si>
  <si>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</si>
  <si>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</si>
  <si>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</si>
  <si>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</si>
  <si>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</si>
  <si>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</si>
  <si>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</si>
  <si>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</si>
  <si>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</si>
  <si>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</si>
  <si>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</si>
  <si>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</si>
  <si>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</si>
  <si>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</si>
  <si>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</si>
  <si>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</si>
  <si>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</si>
  <si>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</si>
  <si>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</si>
  <si>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</si>
  <si>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</si>
  <si>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</si>
  <si>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</si>
  <si>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</si>
  <si>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</si>
  <si>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</si>
  <si>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</si>
  <si>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</si>
  <si>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</si>
  <si>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</si>
  <si>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</si>
  <si>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</si>
  <si>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</si>
  <si>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</si>
  <si>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</si>
  <si>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</si>
  <si>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</si>
  <si>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</si>
  <si>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</si>
  <si>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</si>
  <si>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</si>
  <si>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functions</t>
  </si>
  <si>
    <t>finding the number of blanks cells in  price column using countblank</t>
  </si>
  <si>
    <t>filling the blank space using the median value(since there are outliners in the data set)</t>
  </si>
  <si>
    <t>median value</t>
  </si>
  <si>
    <t xml:space="preserve">filled blank space using </t>
  </si>
  <si>
    <t>if(D2="",median(D2:D35)D2)</t>
  </si>
  <si>
    <t>finding the number of blanks cells in  CATEGORY column using countblank</t>
  </si>
  <si>
    <t>filling miss values</t>
  </si>
  <si>
    <t>category (filled)</t>
  </si>
  <si>
    <t>price (filled)</t>
  </si>
  <si>
    <t>first replacing electroni to electronics</t>
  </si>
  <si>
    <t>then adding missing values logically</t>
  </si>
  <si>
    <t>Electronicscs</t>
  </si>
  <si>
    <t>T-Shirt</t>
  </si>
  <si>
    <t>capitalized each word through power query on product name column</t>
  </si>
  <si>
    <t>using replace value ,replaced Electroni to Electronics in the category column</t>
  </si>
  <si>
    <t>remove duplicates in the dataset</t>
  </si>
  <si>
    <t>go to excel ribbons take data tab then choose remove duplicates</t>
  </si>
  <si>
    <t>3 duplicates found and removed</t>
  </si>
  <si>
    <t xml:space="preserve"> Manufacturing date</t>
  </si>
  <si>
    <t xml:space="preserve"> Country code</t>
  </si>
  <si>
    <t>Product Brand</t>
  </si>
  <si>
    <r>
      <t xml:space="preserve">Here </t>
    </r>
    <r>
      <rPr>
        <sz val="10"/>
        <color rgb="FFFF0000"/>
        <rFont val="Arial"/>
        <family val="2"/>
        <scheme val="minor"/>
      </rPr>
      <t xml:space="preserve">Left(),Right() </t>
    </r>
    <r>
      <rPr>
        <sz val="10"/>
        <color theme="1"/>
        <rFont val="Arial"/>
        <family val="2"/>
        <scheme val="minor"/>
      </rPr>
      <t>functions are used to split the product id column</t>
    </r>
  </si>
  <si>
    <t>either this or Text column can be used to spit</t>
  </si>
  <si>
    <r>
      <t xml:space="preserve">Here </t>
    </r>
    <r>
      <rPr>
        <sz val="10"/>
        <color rgb="FFFF0000"/>
        <rFont val="Arial"/>
        <family val="2"/>
        <scheme val="minor"/>
      </rPr>
      <t xml:space="preserve">Textjoin </t>
    </r>
    <r>
      <rPr>
        <sz val="10"/>
        <rFont val="Arial"/>
        <family val="2"/>
        <scheme val="minor"/>
      </rPr>
      <t>function is used to merge product name and Brand name</t>
    </r>
  </si>
  <si>
    <t>Price($)</t>
  </si>
  <si>
    <t>manufacturing date</t>
  </si>
  <si>
    <t>Manufacturing date with year</t>
  </si>
  <si>
    <t>Format price to currency</t>
  </si>
  <si>
    <t>format cells-&gt; currency</t>
  </si>
  <si>
    <t>manufacturing year added via flasfill(cntrl+E)</t>
  </si>
  <si>
    <t>and format in to dd-mm-yyyy</t>
  </si>
  <si>
    <t>Conditional formatting done</t>
  </si>
  <si>
    <t xml:space="preserve"> price column-&gt;data bars</t>
  </si>
  <si>
    <t>category if value is electronics highlight cell-&gt;text that contains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</si>
</sst>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0" formatCode="dd\-mm\-yyyy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5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4DD0E1"/>
      </patternFill>
    </fill>
    <fill>
      <patternFill patternType="solid">
        <fgColor rgb="FFFF00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9" fillId="4" borderId="0" xfId="0" applyFont="1" applyFill="1"/>
    <xf numFmtId="0" fontId="0" fillId="4" borderId="0" xfId="0" applyFill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8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7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164" fontId="0" fillId="0" borderId="0" xfId="0" applyNumberFormat="1"/>
    <xf numFmtId="164" fontId="11" fillId="8" borderId="0" xfId="0" applyNumberFormat="1" applyFont="1" applyFill="1" applyAlignment="1">
      <alignment horizontal="center"/>
    </xf>
    <xf numFmtId="170" fontId="11" fillId="9" borderId="0" xfId="0" applyNumberFormat="1" applyFont="1" applyFill="1" applyAlignment="1">
      <alignment horizontal="center"/>
    </xf>
    <xf numFmtId="170" fontId="9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1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350A1D-470C-4B56-BA4B-A63E0BECDC3C}" autoFormatId="16" applyNumberFormats="0" applyBorderFormats="0" applyFontFormats="0" applyPatternFormats="0" applyAlignmentFormats="0" applyWidthHeightFormats="0">
  <queryTableRefresh nextId="7">
    <queryTableFields count="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26EC6-800C-4226-A005-1B5D3955E879}" name="Dataset" displayName="Dataset" ref="A1:F35" tableType="queryTable" totalsRowShown="0">
  <autoFilter ref="A1:F35" xr:uid="{5E226EC6-800C-4226-A005-1B5D3955E879}"/>
  <tableColumns count="6">
    <tableColumn id="1" xr3:uid="{42C17A3C-4350-4D09-A62D-F5252DFA864A}" uniqueName="1" name="Product ID" queryTableFieldId="1" dataDxfId="11"/>
    <tableColumn id="2" xr3:uid="{86951917-3CD2-45A9-AA3E-1CFA269062D3}" uniqueName="2" name="Product Name" queryTableFieldId="2" dataDxfId="10"/>
    <tableColumn id="3" xr3:uid="{162FF086-009D-4F9E-B4FC-3B6455B42703}" uniqueName="3" name="Brand Name" queryTableFieldId="3" dataDxfId="9"/>
    <tableColumn id="4" xr3:uid="{FEBACF9F-D8C8-4543-8AE0-80DCECF89CCF}" uniqueName="4" name="Price ($)" queryTableFieldId="4"/>
    <tableColumn id="5" xr3:uid="{9588DD9F-27BE-4EA2-8EBA-FB76BE26B5B5}" uniqueName="5" name="Quantity" queryTableFieldId="5"/>
    <tableColumn id="6" xr3:uid="{E74ECF3E-CFC8-4B6B-972B-B62E041AFE07}" uniqueName="6" name="Category" queryTableFieldId="6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B16" workbookViewId="0">
      <selection activeCell="P31" sqref="P31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12" t="s">
        <v>2</v>
      </c>
    </row>
    <row r="5" spans="1:11" ht="15.75" customHeight="1" x14ac:dyDescent="0.25">
      <c r="B5" s="4"/>
      <c r="C5" s="12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9" workbookViewId="0">
      <selection activeCell="I34" sqref="I34"/>
    </sheetView>
  </sheetViews>
  <sheetFormatPr defaultColWidth="12.5703125" defaultRowHeight="15" customHeight="1" x14ac:dyDescent="0.2"/>
  <cols>
    <col min="1" max="1" width="12.5703125" customWidth="1"/>
    <col min="2" max="2" width="19.42578125" customWidth="1"/>
    <col min="3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58A5-F1D2-49A4-B404-5DDD5EE5C9D0}">
  <dimension ref="A1:K36"/>
  <sheetViews>
    <sheetView workbookViewId="0">
      <selection activeCell="G37" sqref="G37"/>
    </sheetView>
  </sheetViews>
  <sheetFormatPr defaultRowHeight="12.75" x14ac:dyDescent="0.2"/>
  <cols>
    <col min="1" max="1" width="9.140625" customWidth="1"/>
    <col min="2" max="2" width="20.140625" customWidth="1"/>
    <col min="3" max="3" width="14.5703125" customWidth="1"/>
    <col min="6" max="6" width="18.42578125" customWidth="1"/>
    <col min="7" max="7" width="19.5703125" customWidth="1"/>
    <col min="8" max="8" width="21.140625" customWidth="1"/>
    <col min="10" max="10" width="9.42578125" customWidth="1"/>
  </cols>
  <sheetData>
    <row r="1" spans="1:1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3" t="s">
        <v>125</v>
      </c>
      <c r="H1" s="13" t="s">
        <v>124</v>
      </c>
    </row>
    <row r="2" spans="1:1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>
        <f>IF(D2="",MEDIAN(D:D),D2)</f>
        <v>1000</v>
      </c>
      <c r="H2" t="str">
        <f>IF(ISBLANK(F2),"",IF(F2="Electroni","Electronics",F2))</f>
        <v>Electronics</v>
      </c>
      <c r="I2" s="10" t="s">
        <v>116</v>
      </c>
      <c r="J2" s="11"/>
      <c r="K2" s="11"/>
    </row>
    <row r="3" spans="1:11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>
        <f t="shared" ref="G3:G25" si="0">IF(D3="",MEDIAN(D:D),D3)</f>
        <v>80</v>
      </c>
      <c r="H3" t="str">
        <f t="shared" ref="H3:H36" si="1">IF(ISBLANK(F3),"",IF(F3="Electroni","Electronics",F3))</f>
        <v>Fashion</v>
      </c>
      <c r="I3" s="9"/>
    </row>
    <row r="4" spans="1:11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>
        <f t="shared" si="0"/>
        <v>130</v>
      </c>
      <c r="H4" t="str">
        <f t="shared" si="1"/>
        <v>Kitchen</v>
      </c>
      <c r="I4" s="9" t="s">
        <v>117</v>
      </c>
    </row>
    <row r="5" spans="1:11" x14ac:dyDescent="0.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>
        <f t="shared" si="0"/>
        <v>900</v>
      </c>
      <c r="H5" t="str">
        <f t="shared" si="1"/>
        <v>Electronics</v>
      </c>
      <c r="I5" s="16">
        <f>COUNTBLANK(D2:D35)</f>
        <v>3</v>
      </c>
    </row>
    <row r="6" spans="1:1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G6">
        <f t="shared" si="0"/>
        <v>70</v>
      </c>
      <c r="H6" s="10" t="s">
        <v>75</v>
      </c>
    </row>
    <row r="7" spans="1:1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  <c r="G7" s="14">
        <f t="shared" si="0"/>
        <v>130</v>
      </c>
      <c r="H7" t="str">
        <f t="shared" si="1"/>
        <v>Electronics</v>
      </c>
      <c r="I7" s="9" t="s">
        <v>118</v>
      </c>
    </row>
    <row r="8" spans="1:1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>
        <f t="shared" si="0"/>
        <v>30</v>
      </c>
      <c r="H8" t="str">
        <f t="shared" si="1"/>
        <v>Fashion</v>
      </c>
      <c r="I8" s="9" t="s">
        <v>119</v>
      </c>
    </row>
    <row r="9" spans="1:1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>
        <f t="shared" si="0"/>
        <v>90</v>
      </c>
      <c r="H9" t="str">
        <f t="shared" si="1"/>
        <v>Kitchen</v>
      </c>
      <c r="I9" s="11">
        <f>MEDIAN(D2:D35)</f>
        <v>130</v>
      </c>
    </row>
    <row r="10" spans="1:1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>
        <f t="shared" si="0"/>
        <v>500</v>
      </c>
      <c r="H10" t="str">
        <f t="shared" si="1"/>
        <v>Electronics</v>
      </c>
    </row>
    <row r="11" spans="1:1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>
        <f t="shared" si="0"/>
        <v>130</v>
      </c>
      <c r="H11" t="str">
        <f t="shared" si="1"/>
        <v>Outdoor</v>
      </c>
      <c r="I11" s="9"/>
    </row>
    <row r="12" spans="1:1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>
        <f t="shared" si="0"/>
        <v>950</v>
      </c>
      <c r="H12" t="str">
        <f t="shared" si="1"/>
        <v>Electronics</v>
      </c>
    </row>
    <row r="13" spans="1:1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G13">
        <f t="shared" si="0"/>
        <v>90</v>
      </c>
      <c r="H13" s="10" t="s">
        <v>32</v>
      </c>
    </row>
    <row r="14" spans="1:1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G14">
        <f t="shared" si="0"/>
        <v>120</v>
      </c>
      <c r="H14" s="10" t="s">
        <v>36</v>
      </c>
    </row>
    <row r="15" spans="1:1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G15">
        <f t="shared" si="0"/>
        <v>150</v>
      </c>
      <c r="H15" t="str">
        <f t="shared" si="1"/>
        <v>Electronics</v>
      </c>
    </row>
    <row r="16" spans="1:1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G16">
        <f t="shared" si="0"/>
        <v>250</v>
      </c>
      <c r="H16" t="str">
        <f t="shared" si="1"/>
        <v>Electronics</v>
      </c>
      <c r="K16" s="9" t="s">
        <v>120</v>
      </c>
    </row>
    <row r="17" spans="1:1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>
        <f t="shared" si="0"/>
        <v>50</v>
      </c>
      <c r="H17" t="str">
        <f t="shared" si="1"/>
        <v>Accessories</v>
      </c>
      <c r="K17" s="9" t="s">
        <v>121</v>
      </c>
    </row>
    <row r="18" spans="1:1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G18">
        <f t="shared" si="0"/>
        <v>160</v>
      </c>
      <c r="H18" t="str">
        <f t="shared" si="1"/>
        <v>Electronics</v>
      </c>
    </row>
    <row r="19" spans="1:1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>
        <f>IF(D19="",MEDIAN(D:D),D19)</f>
        <v>980</v>
      </c>
      <c r="H19" t="str">
        <f t="shared" si="1"/>
        <v>Electronics</v>
      </c>
      <c r="J19" s="9" t="s">
        <v>122</v>
      </c>
    </row>
    <row r="20" spans="1:1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>
        <f t="shared" si="0"/>
        <v>150</v>
      </c>
      <c r="H20" t="str">
        <f t="shared" si="1"/>
        <v>Fashion</v>
      </c>
      <c r="K20" s="16">
        <f>COUNTBLANK(F2:F35)</f>
        <v>4</v>
      </c>
    </row>
    <row r="21" spans="1:1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G21" s="15">
        <f t="shared" si="0"/>
        <v>130</v>
      </c>
      <c r="H21" t="str">
        <f t="shared" si="1"/>
        <v>Outdoor</v>
      </c>
      <c r="J21" s="9" t="s">
        <v>123</v>
      </c>
    </row>
    <row r="22" spans="1:1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>
        <f t="shared" si="0"/>
        <v>700</v>
      </c>
      <c r="H22" t="str">
        <f t="shared" si="1"/>
        <v>Electronics</v>
      </c>
      <c r="J22" s="9" t="s">
        <v>126</v>
      </c>
    </row>
    <row r="23" spans="1:1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>
        <f t="shared" si="0"/>
        <v>80</v>
      </c>
      <c r="H23" t="str">
        <f t="shared" si="1"/>
        <v>Kitchen</v>
      </c>
      <c r="J23" s="9" t="s">
        <v>127</v>
      </c>
    </row>
    <row r="24" spans="1:1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G24">
        <f t="shared" si="0"/>
        <v>150</v>
      </c>
      <c r="H24" s="10" t="s">
        <v>28</v>
      </c>
      <c r="J24" s="9"/>
    </row>
    <row r="25" spans="1:1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G25">
        <f t="shared" si="0"/>
        <v>50</v>
      </c>
      <c r="H25" t="str">
        <f t="shared" si="1"/>
        <v>Accessories</v>
      </c>
    </row>
    <row r="26" spans="1:1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G26">
        <f t="shared" ref="G26:G35" si="2">IF(D26="",MEDIAN(D:D),D26)</f>
        <v>800</v>
      </c>
      <c r="H26" t="str">
        <f t="shared" si="1"/>
        <v>Electronics</v>
      </c>
      <c r="J26" s="9"/>
    </row>
    <row r="27" spans="1:1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  <c r="G27" s="15">
        <f t="shared" si="2"/>
        <v>130</v>
      </c>
      <c r="H27" s="17" t="str">
        <f t="shared" si="1"/>
        <v>Fashion</v>
      </c>
    </row>
    <row r="28" spans="1:1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G28">
        <f t="shared" si="2"/>
        <v>400</v>
      </c>
      <c r="H28" t="str">
        <f t="shared" si="1"/>
        <v>Kitchen</v>
      </c>
    </row>
    <row r="29" spans="1:1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  <c r="G29">
        <f t="shared" si="2"/>
        <v>250</v>
      </c>
      <c r="H29" t="str">
        <f t="shared" si="1"/>
        <v>Electronics</v>
      </c>
    </row>
    <row r="30" spans="1:1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G30">
        <f t="shared" si="2"/>
        <v>60</v>
      </c>
      <c r="H30" t="str">
        <f t="shared" si="1"/>
        <v>Fashion</v>
      </c>
    </row>
    <row r="31" spans="1:1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G31">
        <f t="shared" si="2"/>
        <v>40</v>
      </c>
      <c r="H31" t="str">
        <f t="shared" si="1"/>
        <v>Kitchen</v>
      </c>
    </row>
    <row r="32" spans="1:1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  <c r="G32">
        <f t="shared" si="2"/>
        <v>130</v>
      </c>
      <c r="H32" t="str">
        <f t="shared" si="1"/>
        <v>Electronics</v>
      </c>
    </row>
    <row r="33" spans="1:8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G33">
        <f t="shared" si="2"/>
        <v>50</v>
      </c>
      <c r="H33" t="str">
        <f t="shared" si="1"/>
        <v>Fashion</v>
      </c>
    </row>
    <row r="34" spans="1:8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  <c r="G34">
        <f t="shared" si="2"/>
        <v>950</v>
      </c>
      <c r="H34" t="str">
        <f t="shared" si="1"/>
        <v>Electronics</v>
      </c>
    </row>
    <row r="35" spans="1:8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G35">
        <f t="shared" si="2"/>
        <v>100</v>
      </c>
      <c r="H35" t="str">
        <f t="shared" si="1"/>
        <v>Accessories</v>
      </c>
    </row>
    <row r="36" spans="1:8" x14ac:dyDescent="0.2">
      <c r="H36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75A7-9ED1-4E31-AE36-ED2134C1DA6E}">
  <dimension ref="A1:N35"/>
  <sheetViews>
    <sheetView workbookViewId="0">
      <selection activeCell="O1" sqref="O1"/>
    </sheetView>
  </sheetViews>
  <sheetFormatPr defaultRowHeight="12.75" x14ac:dyDescent="0.2"/>
  <cols>
    <col min="1" max="1" width="12.7109375" bestFit="1" customWidth="1"/>
    <col min="2" max="2" width="16.28515625" bestFit="1" customWidth="1"/>
    <col min="3" max="3" width="14.5703125" bestFit="1" customWidth="1"/>
    <col min="4" max="4" width="10.7109375" bestFit="1" customWidth="1"/>
    <col min="5" max="5" width="10.85546875" bestFit="1" customWidth="1"/>
    <col min="6" max="6" width="12.28515625" bestFit="1" customWidth="1"/>
  </cols>
  <sheetData>
    <row r="1" spans="1:14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14" x14ac:dyDescent="0.2">
      <c r="A2" t="s">
        <v>25</v>
      </c>
      <c r="B2" t="s">
        <v>61</v>
      </c>
      <c r="C2" t="s">
        <v>27</v>
      </c>
      <c r="D2">
        <v>1000</v>
      </c>
      <c r="E2">
        <v>30</v>
      </c>
      <c r="F2" t="s">
        <v>128</v>
      </c>
    </row>
    <row r="3" spans="1:14" x14ac:dyDescent="0.2">
      <c r="A3" t="s">
        <v>29</v>
      </c>
      <c r="B3" t="s">
        <v>30</v>
      </c>
      <c r="C3" t="s">
        <v>31</v>
      </c>
      <c r="D3">
        <v>80</v>
      </c>
      <c r="E3">
        <v>15</v>
      </c>
      <c r="F3" t="s">
        <v>32</v>
      </c>
      <c r="H3" s="11" t="s">
        <v>130</v>
      </c>
      <c r="I3" s="11"/>
      <c r="J3" s="11"/>
      <c r="K3" s="11"/>
      <c r="L3" s="11"/>
      <c r="M3" s="11"/>
      <c r="N3" s="11"/>
    </row>
    <row r="4" spans="1:14" x14ac:dyDescent="0.2">
      <c r="A4" t="s">
        <v>33</v>
      </c>
      <c r="B4" t="s">
        <v>34</v>
      </c>
      <c r="C4" t="s">
        <v>35</v>
      </c>
      <c r="D4">
        <v>130</v>
      </c>
      <c r="E4">
        <v>40</v>
      </c>
      <c r="F4" t="s">
        <v>36</v>
      </c>
    </row>
    <row r="5" spans="1:14" x14ac:dyDescent="0.2">
      <c r="A5" t="s">
        <v>37</v>
      </c>
      <c r="B5" t="s">
        <v>96</v>
      </c>
      <c r="C5" t="s">
        <v>39</v>
      </c>
      <c r="D5">
        <v>900</v>
      </c>
      <c r="E5">
        <v>25</v>
      </c>
      <c r="F5" t="s">
        <v>128</v>
      </c>
      <c r="H5" s="11" t="s">
        <v>131</v>
      </c>
      <c r="I5" s="11"/>
      <c r="J5" s="11"/>
      <c r="K5" s="11"/>
      <c r="L5" s="11"/>
      <c r="M5" s="11"/>
      <c r="N5" s="11"/>
    </row>
    <row r="6" spans="1:14" x14ac:dyDescent="0.2">
      <c r="A6" t="s">
        <v>40</v>
      </c>
      <c r="B6" t="s">
        <v>41</v>
      </c>
      <c r="C6" t="s">
        <v>42</v>
      </c>
      <c r="D6">
        <v>70</v>
      </c>
      <c r="E6">
        <v>20</v>
      </c>
      <c r="F6" t="s">
        <v>75</v>
      </c>
    </row>
    <row r="7" spans="1:14" x14ac:dyDescent="0.2">
      <c r="A7" t="s">
        <v>43</v>
      </c>
      <c r="B7" t="s">
        <v>44</v>
      </c>
      <c r="C7" t="s">
        <v>45</v>
      </c>
      <c r="D7">
        <v>130</v>
      </c>
      <c r="E7">
        <v>45</v>
      </c>
      <c r="F7" t="s">
        <v>28</v>
      </c>
    </row>
    <row r="8" spans="1:14" x14ac:dyDescent="0.2">
      <c r="A8" t="s">
        <v>47</v>
      </c>
      <c r="B8" t="s">
        <v>129</v>
      </c>
      <c r="C8" t="s">
        <v>49</v>
      </c>
      <c r="D8">
        <v>30</v>
      </c>
      <c r="E8">
        <v>5</v>
      </c>
      <c r="F8" t="s">
        <v>32</v>
      </c>
    </row>
    <row r="9" spans="1:14" x14ac:dyDescent="0.2">
      <c r="A9" t="s">
        <v>50</v>
      </c>
      <c r="B9" t="s">
        <v>51</v>
      </c>
      <c r="C9" t="s">
        <v>52</v>
      </c>
      <c r="D9">
        <v>90</v>
      </c>
      <c r="E9">
        <v>35</v>
      </c>
      <c r="F9" t="s">
        <v>36</v>
      </c>
    </row>
    <row r="10" spans="1:14" x14ac:dyDescent="0.2">
      <c r="A10" t="s">
        <v>53</v>
      </c>
      <c r="B10" t="s">
        <v>54</v>
      </c>
      <c r="C10" t="s">
        <v>55</v>
      </c>
      <c r="D10">
        <v>500</v>
      </c>
      <c r="E10">
        <v>50</v>
      </c>
      <c r="F10" t="s">
        <v>128</v>
      </c>
    </row>
    <row r="11" spans="1:14" x14ac:dyDescent="0.2">
      <c r="A11" t="s">
        <v>56</v>
      </c>
      <c r="B11" t="s">
        <v>57</v>
      </c>
      <c r="C11" t="s">
        <v>58</v>
      </c>
      <c r="D11">
        <v>130</v>
      </c>
      <c r="E11">
        <v>10</v>
      </c>
      <c r="F11" t="s">
        <v>59</v>
      </c>
    </row>
    <row r="12" spans="1:14" x14ac:dyDescent="0.2">
      <c r="A12" t="s">
        <v>60</v>
      </c>
      <c r="B12" t="s">
        <v>61</v>
      </c>
      <c r="C12" t="s">
        <v>62</v>
      </c>
      <c r="D12">
        <v>950</v>
      </c>
      <c r="E12">
        <v>25</v>
      </c>
      <c r="F12" t="s">
        <v>128</v>
      </c>
    </row>
    <row r="13" spans="1:14" x14ac:dyDescent="0.2">
      <c r="A13" t="s">
        <v>63</v>
      </c>
      <c r="B13" t="s">
        <v>30</v>
      </c>
      <c r="C13" t="s">
        <v>49</v>
      </c>
      <c r="D13">
        <v>90</v>
      </c>
      <c r="E13">
        <v>40</v>
      </c>
      <c r="F13" t="s">
        <v>32</v>
      </c>
    </row>
    <row r="14" spans="1:14" x14ac:dyDescent="0.2">
      <c r="A14" t="s">
        <v>64</v>
      </c>
      <c r="B14" t="s">
        <v>34</v>
      </c>
      <c r="C14" t="s">
        <v>65</v>
      </c>
      <c r="D14">
        <v>120</v>
      </c>
      <c r="E14">
        <v>35</v>
      </c>
      <c r="F14" t="s">
        <v>28</v>
      </c>
    </row>
    <row r="15" spans="1:14" x14ac:dyDescent="0.2">
      <c r="A15" t="s">
        <v>66</v>
      </c>
      <c r="B15" t="s">
        <v>67</v>
      </c>
      <c r="C15" t="s">
        <v>68</v>
      </c>
      <c r="D15">
        <v>150</v>
      </c>
      <c r="E15">
        <v>15</v>
      </c>
      <c r="F15" t="s">
        <v>28</v>
      </c>
    </row>
    <row r="16" spans="1:14" x14ac:dyDescent="0.2">
      <c r="A16" t="s">
        <v>69</v>
      </c>
      <c r="B16" t="s">
        <v>44</v>
      </c>
      <c r="C16" t="s">
        <v>71</v>
      </c>
      <c r="D16">
        <v>250</v>
      </c>
      <c r="E16">
        <v>20</v>
      </c>
      <c r="F16" t="s">
        <v>28</v>
      </c>
    </row>
    <row r="17" spans="1:6" x14ac:dyDescent="0.2">
      <c r="A17" t="s">
        <v>72</v>
      </c>
      <c r="B17" t="s">
        <v>73</v>
      </c>
      <c r="C17" t="s">
        <v>74</v>
      </c>
      <c r="D17">
        <v>50</v>
      </c>
      <c r="E17">
        <v>35</v>
      </c>
      <c r="F17" t="s">
        <v>75</v>
      </c>
    </row>
    <row r="18" spans="1:6" x14ac:dyDescent="0.2">
      <c r="A18" t="s">
        <v>76</v>
      </c>
      <c r="B18" t="s">
        <v>67</v>
      </c>
      <c r="C18" t="s">
        <v>77</v>
      </c>
      <c r="D18">
        <v>160</v>
      </c>
      <c r="E18">
        <v>15</v>
      </c>
      <c r="F18" t="s">
        <v>28</v>
      </c>
    </row>
    <row r="19" spans="1:6" x14ac:dyDescent="0.2">
      <c r="A19" t="s">
        <v>78</v>
      </c>
      <c r="B19" t="s">
        <v>61</v>
      </c>
      <c r="C19" t="s">
        <v>79</v>
      </c>
      <c r="D19">
        <v>980</v>
      </c>
      <c r="E19">
        <v>10</v>
      </c>
      <c r="F19" t="s">
        <v>128</v>
      </c>
    </row>
    <row r="20" spans="1:6" x14ac:dyDescent="0.2">
      <c r="A20" t="s">
        <v>80</v>
      </c>
      <c r="B20" t="s">
        <v>81</v>
      </c>
      <c r="C20" t="s">
        <v>82</v>
      </c>
      <c r="D20">
        <v>150</v>
      </c>
      <c r="E20">
        <v>15</v>
      </c>
      <c r="F20" t="s">
        <v>32</v>
      </c>
    </row>
    <row r="21" spans="1:6" x14ac:dyDescent="0.2">
      <c r="A21" t="s">
        <v>83</v>
      </c>
      <c r="B21" t="s">
        <v>84</v>
      </c>
      <c r="C21" t="s">
        <v>85</v>
      </c>
      <c r="D21">
        <v>130</v>
      </c>
      <c r="E21">
        <v>10</v>
      </c>
      <c r="F21" t="s">
        <v>59</v>
      </c>
    </row>
    <row r="22" spans="1:6" x14ac:dyDescent="0.2">
      <c r="A22" t="s">
        <v>86</v>
      </c>
      <c r="B22" t="s">
        <v>87</v>
      </c>
      <c r="C22" t="s">
        <v>88</v>
      </c>
      <c r="D22">
        <v>700</v>
      </c>
      <c r="E22">
        <v>50</v>
      </c>
      <c r="F22" t="s">
        <v>128</v>
      </c>
    </row>
    <row r="23" spans="1:6" x14ac:dyDescent="0.2">
      <c r="A23" t="s">
        <v>89</v>
      </c>
      <c r="B23" t="s">
        <v>90</v>
      </c>
      <c r="C23" t="s">
        <v>91</v>
      </c>
      <c r="D23">
        <v>80</v>
      </c>
      <c r="E23">
        <v>20</v>
      </c>
      <c r="F23" t="s">
        <v>36</v>
      </c>
    </row>
    <row r="24" spans="1:6" x14ac:dyDescent="0.2">
      <c r="A24" t="s">
        <v>92</v>
      </c>
      <c r="B24" t="s">
        <v>93</v>
      </c>
      <c r="C24" t="s">
        <v>94</v>
      </c>
      <c r="D24">
        <v>150</v>
      </c>
      <c r="E24">
        <v>30</v>
      </c>
      <c r="F24" t="s">
        <v>28</v>
      </c>
    </row>
    <row r="25" spans="1:6" x14ac:dyDescent="0.2">
      <c r="A25" t="s">
        <v>72</v>
      </c>
      <c r="B25" t="s">
        <v>73</v>
      </c>
      <c r="C25" t="s">
        <v>74</v>
      </c>
      <c r="D25">
        <v>50</v>
      </c>
      <c r="E25">
        <v>35</v>
      </c>
      <c r="F25" t="s">
        <v>75</v>
      </c>
    </row>
    <row r="26" spans="1:6" x14ac:dyDescent="0.2">
      <c r="A26" t="s">
        <v>95</v>
      </c>
      <c r="B26" t="s">
        <v>96</v>
      </c>
      <c r="C26" t="s">
        <v>97</v>
      </c>
      <c r="D26">
        <v>800</v>
      </c>
      <c r="E26">
        <v>45</v>
      </c>
      <c r="F26" t="s">
        <v>128</v>
      </c>
    </row>
    <row r="27" spans="1:6" x14ac:dyDescent="0.2">
      <c r="A27" t="s">
        <v>98</v>
      </c>
      <c r="B27" t="s">
        <v>81</v>
      </c>
      <c r="C27" t="s">
        <v>99</v>
      </c>
      <c r="D27">
        <v>130</v>
      </c>
      <c r="E27">
        <v>25</v>
      </c>
      <c r="F27" t="s">
        <v>32</v>
      </c>
    </row>
    <row r="28" spans="1:6" x14ac:dyDescent="0.2">
      <c r="A28" t="s">
        <v>100</v>
      </c>
      <c r="B28" t="s">
        <v>51</v>
      </c>
      <c r="C28" t="s">
        <v>101</v>
      </c>
      <c r="D28">
        <v>400</v>
      </c>
      <c r="E28">
        <v>40</v>
      </c>
      <c r="F28" t="s">
        <v>36</v>
      </c>
    </row>
    <row r="29" spans="1:6" x14ac:dyDescent="0.2">
      <c r="A29" t="s">
        <v>69</v>
      </c>
      <c r="B29" t="s">
        <v>44</v>
      </c>
      <c r="C29" t="s">
        <v>71</v>
      </c>
      <c r="D29">
        <v>250</v>
      </c>
      <c r="E29">
        <v>20</v>
      </c>
      <c r="F29" t="s">
        <v>28</v>
      </c>
    </row>
    <row r="30" spans="1:6" x14ac:dyDescent="0.2">
      <c r="A30" t="s">
        <v>102</v>
      </c>
      <c r="B30" t="s">
        <v>103</v>
      </c>
      <c r="C30" t="s">
        <v>104</v>
      </c>
      <c r="D30">
        <v>60</v>
      </c>
      <c r="E30">
        <v>30</v>
      </c>
      <c r="F30" t="s">
        <v>32</v>
      </c>
    </row>
    <row r="31" spans="1:6" x14ac:dyDescent="0.2">
      <c r="A31" t="s">
        <v>105</v>
      </c>
      <c r="B31" t="s">
        <v>106</v>
      </c>
      <c r="C31" t="s">
        <v>107</v>
      </c>
      <c r="D31">
        <v>40</v>
      </c>
      <c r="E31">
        <v>10</v>
      </c>
      <c r="F31" t="s">
        <v>36</v>
      </c>
    </row>
    <row r="32" spans="1:6" x14ac:dyDescent="0.2">
      <c r="A32" t="s">
        <v>108</v>
      </c>
      <c r="B32" t="s">
        <v>93</v>
      </c>
      <c r="C32" t="s">
        <v>109</v>
      </c>
      <c r="D32">
        <v>130</v>
      </c>
      <c r="E32">
        <v>5</v>
      </c>
      <c r="F32" t="s">
        <v>128</v>
      </c>
    </row>
    <row r="33" spans="1:6" x14ac:dyDescent="0.2">
      <c r="A33" t="s">
        <v>110</v>
      </c>
      <c r="B33" t="s">
        <v>111</v>
      </c>
      <c r="C33" t="s">
        <v>112</v>
      </c>
      <c r="D33">
        <v>50</v>
      </c>
      <c r="E33">
        <v>50</v>
      </c>
      <c r="F33" t="s">
        <v>32</v>
      </c>
    </row>
    <row r="34" spans="1:6" x14ac:dyDescent="0.2">
      <c r="A34" t="s">
        <v>60</v>
      </c>
      <c r="B34" t="s">
        <v>61</v>
      </c>
      <c r="C34" t="s">
        <v>62</v>
      </c>
      <c r="D34">
        <v>950</v>
      </c>
      <c r="E34">
        <v>25</v>
      </c>
      <c r="F34" t="s">
        <v>128</v>
      </c>
    </row>
    <row r="35" spans="1:6" x14ac:dyDescent="0.2">
      <c r="A35" t="s">
        <v>113</v>
      </c>
      <c r="B35" t="s">
        <v>114</v>
      </c>
      <c r="C35" t="s">
        <v>115</v>
      </c>
      <c r="D35">
        <v>100</v>
      </c>
      <c r="E35">
        <v>20</v>
      </c>
      <c r="F35" t="s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2286-00AD-4401-BDC2-961910691552}">
  <dimension ref="A1:K32"/>
  <sheetViews>
    <sheetView workbookViewId="0">
      <selection activeCell="H16" sqref="H16"/>
    </sheetView>
  </sheetViews>
  <sheetFormatPr defaultRowHeight="12.75" x14ac:dyDescent="0.2"/>
  <cols>
    <col min="1" max="1" width="16.42578125" customWidth="1"/>
    <col min="2" max="2" width="12.28515625" customWidth="1"/>
    <col min="3" max="3" width="14.7109375" customWidth="1"/>
    <col min="5" max="5" width="10.85546875" customWidth="1"/>
    <col min="6" max="6" width="14.7109375" customWidth="1"/>
  </cols>
  <sheetData>
    <row r="1" spans="1:1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1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11" t="s">
        <v>132</v>
      </c>
      <c r="J3" s="11"/>
      <c r="K3" s="11"/>
    </row>
    <row r="4" spans="1:11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11" x14ac:dyDescent="0.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1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 t="s">
        <v>75</v>
      </c>
      <c r="I6" t="s">
        <v>133</v>
      </c>
    </row>
    <row r="7" spans="1:11" x14ac:dyDescent="0.2">
      <c r="A7" s="8" t="s">
        <v>43</v>
      </c>
      <c r="B7" s="8" t="s">
        <v>44</v>
      </c>
      <c r="C7" s="8" t="s">
        <v>45</v>
      </c>
      <c r="D7" s="8">
        <v>130</v>
      </c>
      <c r="E7" s="8">
        <v>45</v>
      </c>
      <c r="F7" s="8" t="s">
        <v>28</v>
      </c>
    </row>
    <row r="8" spans="1:1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I8" t="s">
        <v>134</v>
      </c>
    </row>
    <row r="9" spans="1:1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 t="s">
        <v>32</v>
      </c>
    </row>
    <row r="14" spans="1:1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 t="s">
        <v>28</v>
      </c>
    </row>
    <row r="15" spans="1:1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</row>
    <row r="16" spans="1:1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28</v>
      </c>
    </row>
    <row r="17" spans="1:6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28</v>
      </c>
    </row>
    <row r="19" spans="1:6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2">
      <c r="A21" s="8" t="s">
        <v>83</v>
      </c>
      <c r="B21" s="8" t="s">
        <v>84</v>
      </c>
      <c r="C21" s="8" t="s">
        <v>85</v>
      </c>
      <c r="D21" s="8">
        <v>130</v>
      </c>
      <c r="E21" s="8">
        <v>10</v>
      </c>
      <c r="F21" s="8" t="s">
        <v>59</v>
      </c>
    </row>
    <row r="22" spans="1:6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 t="s">
        <v>28</v>
      </c>
    </row>
    <row r="25" spans="1:6" x14ac:dyDescent="0.2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x14ac:dyDescent="0.2">
      <c r="A26" s="8" t="s">
        <v>98</v>
      </c>
      <c r="B26" s="8" t="s">
        <v>81</v>
      </c>
      <c r="C26" s="8" t="s">
        <v>99</v>
      </c>
      <c r="D26" s="8">
        <v>130</v>
      </c>
      <c r="E26" s="8">
        <v>25</v>
      </c>
      <c r="F26" s="8" t="s">
        <v>32</v>
      </c>
    </row>
    <row r="27" spans="1:6" x14ac:dyDescent="0.2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x14ac:dyDescent="0.2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x14ac:dyDescent="0.2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x14ac:dyDescent="0.2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x14ac:dyDescent="0.2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x14ac:dyDescent="0.2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AEFF-53A5-4E6A-AB39-F3D775E7A125}">
  <dimension ref="A1:J32"/>
  <sheetViews>
    <sheetView workbookViewId="0">
      <selection activeCell="J8" sqref="J8"/>
    </sheetView>
  </sheetViews>
  <sheetFormatPr defaultRowHeight="12.75" x14ac:dyDescent="0.2"/>
  <cols>
    <col min="1" max="1" width="12.42578125" customWidth="1"/>
    <col min="2" max="2" width="15.85546875" customWidth="1"/>
    <col min="3" max="3" width="14" customWidth="1"/>
    <col min="4" max="4" width="9.85546875" customWidth="1"/>
    <col min="5" max="5" width="8.42578125" customWidth="1"/>
    <col min="6" max="6" width="15.85546875" customWidth="1"/>
    <col min="7" max="7" width="19.7109375" customWidth="1"/>
    <col min="8" max="8" width="17.42578125" customWidth="1"/>
    <col min="9" max="9" width="24.7109375" customWidth="1"/>
  </cols>
  <sheetData>
    <row r="1" spans="1:10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8" t="s">
        <v>135</v>
      </c>
      <c r="H1" s="18" t="s">
        <v>136</v>
      </c>
      <c r="I1" s="19" t="s">
        <v>137</v>
      </c>
    </row>
    <row r="2" spans="1:10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 t="str">
        <f>LEFT(A2,6)</f>
        <v>28-JAN</v>
      </c>
      <c r="H2" t="str">
        <f>RIGHT(A2,2)</f>
        <v>US</v>
      </c>
      <c r="I2" t="str">
        <f>_xlfn.TEXTJOIN(" ",TRUE,B2,C2)</f>
        <v>laptop Dell</v>
      </c>
    </row>
    <row r="3" spans="1:10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t="str">
        <f t="shared" ref="G3:G32" si="0">LEFT(A3,6)</f>
        <v>15-FEB</v>
      </c>
      <c r="H3" t="str">
        <f t="shared" ref="H3:H32" si="1">RIGHT(A3,2)</f>
        <v>US</v>
      </c>
      <c r="I3" t="str">
        <f t="shared" ref="I3:I32" si="2">_xlfn.TEXTJOIN(" ",TRUE,B3,C3)</f>
        <v>Sneakers Nike</v>
      </c>
      <c r="J3" s="9" t="s">
        <v>138</v>
      </c>
    </row>
    <row r="4" spans="1:10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t="str">
        <f t="shared" si="0"/>
        <v>03-MAR</v>
      </c>
      <c r="H4" t="str">
        <f t="shared" si="1"/>
        <v>US</v>
      </c>
      <c r="I4" t="str">
        <f t="shared" si="2"/>
        <v>Coffee Maker Keurig</v>
      </c>
      <c r="J4" s="9" t="s">
        <v>139</v>
      </c>
    </row>
    <row r="5" spans="1:10" x14ac:dyDescent="0.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t="str">
        <f t="shared" si="0"/>
        <v>11-APR</v>
      </c>
      <c r="H5" t="str">
        <f t="shared" si="1"/>
        <v>US</v>
      </c>
      <c r="I5" t="str">
        <f t="shared" si="2"/>
        <v>smartphone Samsung</v>
      </c>
    </row>
    <row r="6" spans="1:10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 t="s">
        <v>75</v>
      </c>
      <c r="G6" t="str">
        <f t="shared" si="0"/>
        <v>22-MAY</v>
      </c>
      <c r="H6" t="str">
        <f t="shared" si="1"/>
        <v>US</v>
      </c>
      <c r="I6" t="str">
        <f t="shared" si="2"/>
        <v>Backpack North Face</v>
      </c>
    </row>
    <row r="7" spans="1:10" x14ac:dyDescent="0.2">
      <c r="A7" s="8" t="s">
        <v>43</v>
      </c>
      <c r="B7" s="8" t="s">
        <v>44</v>
      </c>
      <c r="C7" s="8" t="s">
        <v>45</v>
      </c>
      <c r="D7" s="8">
        <v>130</v>
      </c>
      <c r="E7" s="8">
        <v>45</v>
      </c>
      <c r="F7" s="8" t="s">
        <v>28</v>
      </c>
      <c r="G7" t="str">
        <f t="shared" si="0"/>
        <v>07-JUN</v>
      </c>
      <c r="H7" t="str">
        <f t="shared" si="1"/>
        <v>UK</v>
      </c>
      <c r="I7" t="str">
        <f t="shared" si="2"/>
        <v>Headphones Sony</v>
      </c>
    </row>
    <row r="8" spans="1:10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t="str">
        <f t="shared" si="0"/>
        <v>19-JUL</v>
      </c>
      <c r="H8" t="str">
        <f t="shared" si="1"/>
        <v>UK</v>
      </c>
      <c r="I8" t="str">
        <f t="shared" si="2"/>
        <v>T-shirt Adidas</v>
      </c>
      <c r="J8" s="9" t="s">
        <v>140</v>
      </c>
    </row>
    <row r="9" spans="1:10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t="str">
        <f t="shared" si="0"/>
        <v>23-AUG</v>
      </c>
      <c r="H9" t="str">
        <f t="shared" si="1"/>
        <v>UK</v>
      </c>
      <c r="I9" t="str">
        <f t="shared" si="2"/>
        <v>Blender Ninja</v>
      </c>
    </row>
    <row r="10" spans="1:10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 t="str">
        <f t="shared" si="0"/>
        <v>05-SEP</v>
      </c>
      <c r="H10" t="str">
        <f t="shared" si="1"/>
        <v>UK</v>
      </c>
      <c r="I10" t="str">
        <f t="shared" si="2"/>
        <v>Tablet Apple</v>
      </c>
    </row>
    <row r="11" spans="1:10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t="str">
        <f t="shared" si="0"/>
        <v>14-OCT</v>
      </c>
      <c r="H11" t="str">
        <f t="shared" si="1"/>
        <v>UK</v>
      </c>
      <c r="I11" t="str">
        <f t="shared" si="2"/>
        <v>Hiking Boots Timberland</v>
      </c>
    </row>
    <row r="12" spans="1:10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 t="str">
        <f t="shared" si="0"/>
        <v>17-JUN</v>
      </c>
      <c r="H12" t="str">
        <f t="shared" si="1"/>
        <v>IN</v>
      </c>
      <c r="I12" t="str">
        <f t="shared" si="2"/>
        <v>Laptop HP</v>
      </c>
    </row>
    <row r="13" spans="1:10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 t="s">
        <v>32</v>
      </c>
      <c r="G13" t="str">
        <f t="shared" si="0"/>
        <v>25-NOV</v>
      </c>
      <c r="H13" t="str">
        <f t="shared" si="1"/>
        <v>AU</v>
      </c>
      <c r="I13" t="str">
        <f t="shared" si="2"/>
        <v>Sneakers Adidas</v>
      </c>
    </row>
    <row r="14" spans="1:10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 t="s">
        <v>28</v>
      </c>
      <c r="G14" t="str">
        <f t="shared" si="0"/>
        <v>08-DEC</v>
      </c>
      <c r="H14" t="str">
        <f t="shared" si="1"/>
        <v>DE</v>
      </c>
      <c r="I14" t="str">
        <f t="shared" si="2"/>
        <v>Coffee Maker Nespresso</v>
      </c>
    </row>
    <row r="15" spans="1:10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  <c r="G15" t="str">
        <f>LEFT(A15,6)</f>
        <v>18-FEB</v>
      </c>
      <c r="H15" t="str">
        <f t="shared" si="1"/>
        <v>CA</v>
      </c>
      <c r="I15" t="str">
        <f t="shared" si="2"/>
        <v>Smartwatch Fitbit</v>
      </c>
    </row>
    <row r="16" spans="1:10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28</v>
      </c>
      <c r="G16" t="str">
        <f t="shared" si="0"/>
        <v>16-APR</v>
      </c>
      <c r="H16" t="str">
        <f t="shared" si="1"/>
        <v>ES</v>
      </c>
      <c r="I16" t="str">
        <f t="shared" si="2"/>
        <v>headphones Bose</v>
      </c>
    </row>
    <row r="17" spans="1:9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t="str">
        <f t="shared" si="0"/>
        <v>21-AUG</v>
      </c>
      <c r="H17" t="str">
        <f t="shared" si="1"/>
        <v>CA</v>
      </c>
      <c r="I17" t="str">
        <f t="shared" si="2"/>
        <v>Laptop Bag Samsonite</v>
      </c>
    </row>
    <row r="18" spans="1:9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28</v>
      </c>
      <c r="G18" t="str">
        <f t="shared" si="0"/>
        <v>20-AUG</v>
      </c>
      <c r="H18" t="str">
        <f t="shared" si="1"/>
        <v>CN</v>
      </c>
      <c r="I18" t="str">
        <f t="shared" si="2"/>
        <v>Smartwatch Huawei</v>
      </c>
    </row>
    <row r="19" spans="1:9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t="str">
        <f t="shared" si="0"/>
        <v>27-JAN</v>
      </c>
      <c r="H19" t="str">
        <f t="shared" si="1"/>
        <v>IT</v>
      </c>
      <c r="I19" t="str">
        <f t="shared" si="2"/>
        <v>laptop Asus</v>
      </c>
    </row>
    <row r="20" spans="1:9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t="str">
        <f t="shared" si="0"/>
        <v>01-MAR</v>
      </c>
      <c r="H20" t="str">
        <f t="shared" si="1"/>
        <v>UK</v>
      </c>
      <c r="I20" t="str">
        <f t="shared" si="2"/>
        <v>Sunglasses Oakley</v>
      </c>
    </row>
    <row r="21" spans="1:9" x14ac:dyDescent="0.2">
      <c r="A21" s="8" t="s">
        <v>83</v>
      </c>
      <c r="B21" s="8" t="s">
        <v>84</v>
      </c>
      <c r="C21" s="8" t="s">
        <v>85</v>
      </c>
      <c r="D21" s="8">
        <v>130</v>
      </c>
      <c r="E21" s="8">
        <v>10</v>
      </c>
      <c r="F21" s="8" t="s">
        <v>59</v>
      </c>
      <c r="G21" t="str">
        <f t="shared" si="0"/>
        <v>14-AUG</v>
      </c>
      <c r="H21" t="str">
        <f>RIGHT(A21,2)</f>
        <v>US</v>
      </c>
      <c r="I21" t="str">
        <f t="shared" si="2"/>
        <v>Camping Tent Coleman</v>
      </c>
    </row>
    <row r="22" spans="1:9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 t="str">
        <f>LEFT(A22,6)</f>
        <v>14-MAY</v>
      </c>
      <c r="H22" t="str">
        <f t="shared" si="1"/>
        <v>RU</v>
      </c>
      <c r="I22" t="str">
        <f>_xlfn.TEXTJOIN(" ",TRUE,B22,C22)</f>
        <v>Camera Nikon</v>
      </c>
    </row>
    <row r="23" spans="1:9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t="str">
        <f t="shared" si="0"/>
        <v>09-JAN</v>
      </c>
      <c r="H23" t="str">
        <f t="shared" si="1"/>
        <v>CA</v>
      </c>
      <c r="I23" t="str">
        <f t="shared" si="2"/>
        <v>Microwave Panasonic</v>
      </c>
    </row>
    <row r="24" spans="1:9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 t="s">
        <v>28</v>
      </c>
      <c r="G24" t="str">
        <f t="shared" si="0"/>
        <v>19-JUL</v>
      </c>
      <c r="H24" t="str">
        <f t="shared" si="1"/>
        <v>BR</v>
      </c>
      <c r="I24" t="str">
        <f t="shared" si="2"/>
        <v>Fitness Tracker Xiaomi</v>
      </c>
    </row>
    <row r="25" spans="1:9" x14ac:dyDescent="0.2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  <c r="G25" t="str">
        <f t="shared" si="0"/>
        <v>29-SEP</v>
      </c>
      <c r="H25" t="str">
        <f t="shared" si="1"/>
        <v>CA</v>
      </c>
      <c r="I25" t="str">
        <f t="shared" si="2"/>
        <v>Smartphone Google</v>
      </c>
    </row>
    <row r="26" spans="1:9" x14ac:dyDescent="0.2">
      <c r="A26" s="8" t="s">
        <v>98</v>
      </c>
      <c r="B26" s="8" t="s">
        <v>81</v>
      </c>
      <c r="C26" s="8" t="s">
        <v>99</v>
      </c>
      <c r="D26" s="8">
        <v>130</v>
      </c>
      <c r="E26" s="8">
        <v>25</v>
      </c>
      <c r="F26" s="8" t="s">
        <v>32</v>
      </c>
      <c r="G26" t="str">
        <f t="shared" si="0"/>
        <v>03-JUN</v>
      </c>
      <c r="H26" t="str">
        <f t="shared" si="1"/>
        <v>CA</v>
      </c>
      <c r="I26" t="str">
        <f t="shared" si="2"/>
        <v>Sunglasses Ray-Ban</v>
      </c>
    </row>
    <row r="27" spans="1:9" x14ac:dyDescent="0.2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  <c r="G27" t="str">
        <f t="shared" si="0"/>
        <v>11-JUL</v>
      </c>
      <c r="H27" t="str">
        <f t="shared" si="1"/>
        <v>CA</v>
      </c>
      <c r="I27" t="str">
        <f t="shared" si="2"/>
        <v>Blender Vitamix</v>
      </c>
    </row>
    <row r="28" spans="1:9" x14ac:dyDescent="0.2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  <c r="G28" t="str">
        <f t="shared" si="0"/>
        <v>07-MAR</v>
      </c>
      <c r="H28" t="str">
        <f t="shared" si="1"/>
        <v>CA</v>
      </c>
      <c r="I28" t="str">
        <f t="shared" si="2"/>
        <v>Dress Zara</v>
      </c>
    </row>
    <row r="29" spans="1:9" x14ac:dyDescent="0.2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  <c r="G29" t="str">
        <f t="shared" si="0"/>
        <v>13-APR</v>
      </c>
      <c r="H29" t="str">
        <f t="shared" si="1"/>
        <v>CA</v>
      </c>
      <c r="I29" t="str">
        <f t="shared" si="2"/>
        <v>Toaster Hamilton</v>
      </c>
    </row>
    <row r="30" spans="1:9" x14ac:dyDescent="0.2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  <c r="G30" t="str">
        <f t="shared" si="0"/>
        <v>24-MAY</v>
      </c>
      <c r="H30" t="str">
        <f t="shared" si="1"/>
        <v>CA</v>
      </c>
      <c r="I30" t="str">
        <f t="shared" si="2"/>
        <v>Fitness Tracker Garmin</v>
      </c>
    </row>
    <row r="31" spans="1:9" x14ac:dyDescent="0.2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  <c r="G31" t="str">
        <f t="shared" si="0"/>
        <v>02-DEC</v>
      </c>
      <c r="H31" t="str">
        <f t="shared" si="1"/>
        <v>CA</v>
      </c>
      <c r="I31" t="str">
        <f t="shared" si="2"/>
        <v>Jeans Levi's</v>
      </c>
    </row>
    <row r="32" spans="1:9" x14ac:dyDescent="0.2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  <c r="G32" t="str">
        <f t="shared" si="0"/>
        <v>09-JUL</v>
      </c>
      <c r="H32" t="str">
        <f t="shared" si="1"/>
        <v>FR</v>
      </c>
      <c r="I32" t="str">
        <f t="shared" si="2"/>
        <v>Watch Casio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1035-6B39-4874-A548-D8E53802AF5F}">
  <dimension ref="A1:J32"/>
  <sheetViews>
    <sheetView workbookViewId="0">
      <selection activeCell="D1" sqref="D1:D1048576"/>
    </sheetView>
  </sheetViews>
  <sheetFormatPr defaultRowHeight="12.75" x14ac:dyDescent="0.2"/>
  <cols>
    <col min="1" max="1" width="15.85546875" customWidth="1"/>
    <col min="2" max="2" width="13.42578125" customWidth="1"/>
    <col min="3" max="3" width="11.140625" customWidth="1"/>
    <col min="4" max="4" width="11.5703125" customWidth="1"/>
    <col min="5" max="5" width="12.85546875" customWidth="1"/>
    <col min="6" max="6" width="14.42578125" customWidth="1"/>
    <col min="7" max="7" width="10.5703125" style="20" customWidth="1"/>
    <col min="8" max="8" width="19" customWidth="1"/>
    <col min="9" max="9" width="26.5703125" style="24" customWidth="1"/>
  </cols>
  <sheetData>
    <row r="1" spans="1:10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21" t="s">
        <v>141</v>
      </c>
      <c r="H1" s="19" t="s">
        <v>142</v>
      </c>
      <c r="I1" s="22" t="s">
        <v>143</v>
      </c>
    </row>
    <row r="2" spans="1:10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 s="20">
        <v>1000</v>
      </c>
      <c r="H2" t="str">
        <f>LEFT(A2,6)</f>
        <v>28-JAN</v>
      </c>
      <c r="I2" s="23">
        <v>46050</v>
      </c>
    </row>
    <row r="3" spans="1:10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20">
        <v>80</v>
      </c>
      <c r="H3" t="str">
        <f t="shared" ref="H3:H32" si="0">LEFT(A3,6)</f>
        <v>15-FEB</v>
      </c>
      <c r="I3" s="23">
        <v>46068</v>
      </c>
      <c r="J3" s="9" t="s">
        <v>144</v>
      </c>
    </row>
    <row r="4" spans="1:10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20">
        <v>130</v>
      </c>
      <c r="H4" t="str">
        <f t="shared" si="0"/>
        <v>03-MAR</v>
      </c>
      <c r="I4" s="23">
        <v>46084</v>
      </c>
      <c r="J4" s="9" t="s">
        <v>145</v>
      </c>
    </row>
    <row r="5" spans="1:10" x14ac:dyDescent="0.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20">
        <v>900</v>
      </c>
      <c r="H5" t="str">
        <f t="shared" si="0"/>
        <v>11-APR</v>
      </c>
      <c r="I5" s="23">
        <v>46123</v>
      </c>
    </row>
    <row r="6" spans="1:10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 t="s">
        <v>75</v>
      </c>
      <c r="G6" s="20">
        <v>70</v>
      </c>
      <c r="H6" t="str">
        <f t="shared" si="0"/>
        <v>22-MAY</v>
      </c>
      <c r="I6" s="23">
        <v>46164</v>
      </c>
      <c r="J6" s="9" t="s">
        <v>146</v>
      </c>
    </row>
    <row r="7" spans="1:10" x14ac:dyDescent="0.2">
      <c r="A7" s="8" t="s">
        <v>43</v>
      </c>
      <c r="B7" s="8" t="s">
        <v>44</v>
      </c>
      <c r="C7" s="8" t="s">
        <v>45</v>
      </c>
      <c r="D7" s="8">
        <v>130</v>
      </c>
      <c r="E7" s="8">
        <v>45</v>
      </c>
      <c r="F7" s="8" t="s">
        <v>28</v>
      </c>
      <c r="G7" s="20">
        <v>130</v>
      </c>
      <c r="H7" t="str">
        <f t="shared" si="0"/>
        <v>07-JUN</v>
      </c>
      <c r="I7" s="23">
        <v>46180</v>
      </c>
      <c r="J7" s="9" t="s">
        <v>147</v>
      </c>
    </row>
    <row r="8" spans="1:10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s="20">
        <v>30</v>
      </c>
      <c r="H8" t="str">
        <f t="shared" si="0"/>
        <v>19-JUL</v>
      </c>
      <c r="I8" s="23">
        <v>46222</v>
      </c>
    </row>
    <row r="9" spans="1:10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20">
        <v>90</v>
      </c>
      <c r="H9" t="str">
        <f t="shared" si="0"/>
        <v>23-AUG</v>
      </c>
      <c r="I9" s="23">
        <v>46257</v>
      </c>
    </row>
    <row r="10" spans="1:10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 s="20">
        <v>500</v>
      </c>
      <c r="H10" t="str">
        <f t="shared" si="0"/>
        <v>05-SEP</v>
      </c>
      <c r="I10" s="23">
        <v>46270</v>
      </c>
    </row>
    <row r="11" spans="1:10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20">
        <v>130</v>
      </c>
      <c r="H11" t="str">
        <f t="shared" si="0"/>
        <v>14-OCT</v>
      </c>
      <c r="I11" s="23">
        <v>46309</v>
      </c>
    </row>
    <row r="12" spans="1:10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 s="20">
        <v>950</v>
      </c>
      <c r="H12" t="str">
        <f t="shared" si="0"/>
        <v>17-JUN</v>
      </c>
      <c r="I12" s="23">
        <v>46190</v>
      </c>
    </row>
    <row r="13" spans="1:10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 t="s">
        <v>32</v>
      </c>
      <c r="G13" s="20">
        <v>90</v>
      </c>
      <c r="H13" t="str">
        <f t="shared" si="0"/>
        <v>25-NOV</v>
      </c>
      <c r="I13" s="23">
        <v>46351</v>
      </c>
    </row>
    <row r="14" spans="1:10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 t="s">
        <v>28</v>
      </c>
      <c r="G14" s="20">
        <v>120</v>
      </c>
      <c r="H14" t="str">
        <f>LEFT(A14,6)</f>
        <v>08-DEC</v>
      </c>
      <c r="I14" s="23">
        <v>46364</v>
      </c>
    </row>
    <row r="15" spans="1:10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  <c r="G15" s="20">
        <v>150</v>
      </c>
      <c r="H15" t="str">
        <f t="shared" si="0"/>
        <v>18-FEB</v>
      </c>
      <c r="I15" s="23">
        <v>46071</v>
      </c>
    </row>
    <row r="16" spans="1:10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28</v>
      </c>
      <c r="G16" s="20">
        <v>250</v>
      </c>
      <c r="H16" t="str">
        <f t="shared" si="0"/>
        <v>16-APR</v>
      </c>
      <c r="I16" s="23">
        <v>46128</v>
      </c>
    </row>
    <row r="17" spans="1:9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20">
        <v>50</v>
      </c>
      <c r="H17" t="str">
        <f t="shared" si="0"/>
        <v>21-AUG</v>
      </c>
      <c r="I17" s="23">
        <v>46255</v>
      </c>
    </row>
    <row r="18" spans="1:9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28</v>
      </c>
      <c r="G18" s="20">
        <v>160</v>
      </c>
      <c r="H18" t="str">
        <f>LEFT(A18,6)</f>
        <v>20-AUG</v>
      </c>
      <c r="I18" s="23">
        <v>46254</v>
      </c>
    </row>
    <row r="19" spans="1:9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s="20">
        <v>980</v>
      </c>
      <c r="H19" t="str">
        <f t="shared" si="0"/>
        <v>27-JAN</v>
      </c>
      <c r="I19" s="23">
        <v>46049</v>
      </c>
    </row>
    <row r="20" spans="1:9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s="20">
        <v>150</v>
      </c>
      <c r="H20" t="str">
        <f t="shared" si="0"/>
        <v>01-MAR</v>
      </c>
      <c r="I20" s="23">
        <v>46082</v>
      </c>
    </row>
    <row r="21" spans="1:9" x14ac:dyDescent="0.2">
      <c r="A21" s="8" t="s">
        <v>83</v>
      </c>
      <c r="B21" s="8" t="s">
        <v>84</v>
      </c>
      <c r="C21" s="8" t="s">
        <v>85</v>
      </c>
      <c r="D21" s="8">
        <v>130</v>
      </c>
      <c r="E21" s="8">
        <v>10</v>
      </c>
      <c r="F21" s="8" t="s">
        <v>59</v>
      </c>
      <c r="G21" s="20">
        <v>130</v>
      </c>
      <c r="H21" t="str">
        <f t="shared" si="0"/>
        <v>14-AUG</v>
      </c>
      <c r="I21" s="23">
        <v>46248</v>
      </c>
    </row>
    <row r="22" spans="1:9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 s="20">
        <v>700</v>
      </c>
      <c r="H22" t="str">
        <f t="shared" si="0"/>
        <v>14-MAY</v>
      </c>
      <c r="I22" s="23">
        <v>46156</v>
      </c>
    </row>
    <row r="23" spans="1:9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20">
        <v>80</v>
      </c>
      <c r="H23" t="str">
        <f t="shared" si="0"/>
        <v>09-JAN</v>
      </c>
      <c r="I23" s="23">
        <v>46031</v>
      </c>
    </row>
    <row r="24" spans="1:9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 t="s">
        <v>28</v>
      </c>
      <c r="G24" s="20">
        <v>150</v>
      </c>
      <c r="H24" t="str">
        <f t="shared" si="0"/>
        <v>19-JUL</v>
      </c>
      <c r="I24" s="23">
        <v>46222</v>
      </c>
    </row>
    <row r="25" spans="1:9" x14ac:dyDescent="0.2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  <c r="G25" s="20">
        <v>800</v>
      </c>
      <c r="H25" t="str">
        <f t="shared" si="0"/>
        <v>29-SEP</v>
      </c>
      <c r="I25" s="23">
        <v>46294</v>
      </c>
    </row>
    <row r="26" spans="1:9" x14ac:dyDescent="0.2">
      <c r="A26" s="8" t="s">
        <v>98</v>
      </c>
      <c r="B26" s="8" t="s">
        <v>81</v>
      </c>
      <c r="C26" s="8" t="s">
        <v>99</v>
      </c>
      <c r="D26" s="8">
        <v>130</v>
      </c>
      <c r="E26" s="8">
        <v>25</v>
      </c>
      <c r="F26" s="8" t="s">
        <v>32</v>
      </c>
      <c r="G26" s="20">
        <v>130</v>
      </c>
      <c r="H26" t="str">
        <f t="shared" si="0"/>
        <v>03-JUN</v>
      </c>
      <c r="I26" s="23">
        <v>46176</v>
      </c>
    </row>
    <row r="27" spans="1:9" x14ac:dyDescent="0.2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  <c r="G27" s="20">
        <v>400</v>
      </c>
      <c r="H27" t="str">
        <f t="shared" si="0"/>
        <v>11-JUL</v>
      </c>
      <c r="I27" s="23">
        <v>46214</v>
      </c>
    </row>
    <row r="28" spans="1:9" x14ac:dyDescent="0.2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  <c r="G28" s="20">
        <v>60</v>
      </c>
      <c r="H28" t="str">
        <f t="shared" si="0"/>
        <v>07-MAR</v>
      </c>
      <c r="I28" s="23">
        <v>46088</v>
      </c>
    </row>
    <row r="29" spans="1:9" x14ac:dyDescent="0.2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  <c r="G29" s="20">
        <v>40</v>
      </c>
      <c r="H29" t="str">
        <f t="shared" si="0"/>
        <v>13-APR</v>
      </c>
      <c r="I29" s="23">
        <v>46125</v>
      </c>
    </row>
    <row r="30" spans="1:9" x14ac:dyDescent="0.2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  <c r="G30" s="20">
        <v>130</v>
      </c>
      <c r="H30" t="str">
        <f>LEFT(A30,6)</f>
        <v>24-MAY</v>
      </c>
      <c r="I30" s="23">
        <v>46166</v>
      </c>
    </row>
    <row r="31" spans="1:9" x14ac:dyDescent="0.2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  <c r="G31" s="20">
        <v>50</v>
      </c>
      <c r="H31" t="str">
        <f t="shared" si="0"/>
        <v>02-DEC</v>
      </c>
      <c r="I31" s="23">
        <v>46358</v>
      </c>
    </row>
    <row r="32" spans="1:9" x14ac:dyDescent="0.2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  <c r="G32" s="20">
        <v>100</v>
      </c>
      <c r="H32" t="str">
        <f t="shared" si="0"/>
        <v>09-JUL</v>
      </c>
      <c r="I32" s="23">
        <v>46212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02B1-A02A-4C41-9B38-735E91B6B205}">
  <dimension ref="A1:I32"/>
  <sheetViews>
    <sheetView tabSelected="1" workbookViewId="0">
      <selection activeCell="I11" sqref="I11"/>
    </sheetView>
  </sheetViews>
  <sheetFormatPr defaultRowHeight="12.75" x14ac:dyDescent="0.2"/>
  <cols>
    <col min="1" max="1" width="11.140625" customWidth="1"/>
    <col min="2" max="2" width="14.28515625" customWidth="1"/>
    <col min="3" max="3" width="16" customWidth="1"/>
    <col min="4" max="4" width="11.42578125" customWidth="1"/>
    <col min="5" max="5" width="13.140625" customWidth="1"/>
    <col min="6" max="6" width="16.85546875" customWidth="1"/>
  </cols>
  <sheetData>
    <row r="1" spans="1:9" x14ac:dyDescent="0.2">
      <c r="A1" s="7" t="s">
        <v>19</v>
      </c>
      <c r="B1" s="7" t="s">
        <v>20</v>
      </c>
      <c r="C1" s="7" t="s">
        <v>21</v>
      </c>
      <c r="D1" s="13" t="s">
        <v>22</v>
      </c>
      <c r="E1" s="7" t="s">
        <v>23</v>
      </c>
      <c r="F1" s="7" t="s">
        <v>24</v>
      </c>
    </row>
    <row r="2" spans="1:9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9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9" t="s">
        <v>148</v>
      </c>
    </row>
    <row r="4" spans="1:9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9" t="s">
        <v>149</v>
      </c>
    </row>
    <row r="5" spans="1:9" x14ac:dyDescent="0.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9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 t="s">
        <v>75</v>
      </c>
      <c r="I6" s="9" t="s">
        <v>150</v>
      </c>
    </row>
    <row r="7" spans="1:9" x14ac:dyDescent="0.2">
      <c r="A7" s="8" t="s">
        <v>43</v>
      </c>
      <c r="B7" s="8" t="s">
        <v>44</v>
      </c>
      <c r="C7" s="8" t="s">
        <v>45</v>
      </c>
      <c r="D7" s="8">
        <v>130</v>
      </c>
      <c r="E7" s="8">
        <v>45</v>
      </c>
      <c r="F7" s="8" t="s">
        <v>28</v>
      </c>
    </row>
    <row r="8" spans="1:9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9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9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9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9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9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 t="s">
        <v>32</v>
      </c>
    </row>
    <row r="14" spans="1:9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 t="s">
        <v>28</v>
      </c>
    </row>
    <row r="15" spans="1:9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</row>
    <row r="16" spans="1:9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28</v>
      </c>
    </row>
    <row r="17" spans="1:6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28</v>
      </c>
    </row>
    <row r="19" spans="1:6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2">
      <c r="A21" s="8" t="s">
        <v>83</v>
      </c>
      <c r="B21" s="8" t="s">
        <v>84</v>
      </c>
      <c r="C21" s="8" t="s">
        <v>85</v>
      </c>
      <c r="D21" s="8">
        <v>130</v>
      </c>
      <c r="E21" s="8">
        <v>10</v>
      </c>
      <c r="F21" s="8" t="s">
        <v>59</v>
      </c>
    </row>
    <row r="22" spans="1:6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 t="s">
        <v>28</v>
      </c>
    </row>
    <row r="25" spans="1:6" x14ac:dyDescent="0.2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x14ac:dyDescent="0.2">
      <c r="A26" s="8" t="s">
        <v>98</v>
      </c>
      <c r="B26" s="8" t="s">
        <v>81</v>
      </c>
      <c r="C26" s="8" t="s">
        <v>99</v>
      </c>
      <c r="D26" s="8">
        <v>130</v>
      </c>
      <c r="E26" s="8">
        <v>25</v>
      </c>
      <c r="F26" s="8" t="s">
        <v>32</v>
      </c>
    </row>
    <row r="27" spans="1:6" x14ac:dyDescent="0.2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x14ac:dyDescent="0.2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x14ac:dyDescent="0.2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x14ac:dyDescent="0.2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x14ac:dyDescent="0.2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x14ac:dyDescent="0.2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</sheetData>
  <conditionalFormatting sqref="D1:D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{225E2796-0853-4E09-9F50-6DBEB7CDAC4A}</x14:id>
        </ext>
      </extLst>
    </cfRule>
  </conditionalFormatting>
  <conditionalFormatting sqref="F1:F1048576">
    <cfRule type="containsText" dxfId="0" priority="4" operator="containsText" text="Electronics">
      <formula>NOT(ISERROR(SEARCH("Electronics",F1)))</formula>
    </cfRule>
    <cfRule type="containsText" dxfId="1" priority="3" operator="containsText" text="Electronics">
      <formula>NOT(ISERROR(SEARCH("Electronics",F1)))</formula>
    </cfRule>
    <cfRule type="containsText" dxfId="2" priority="1" operator="containsText" text="Electronics">
      <formula>NOT(ISERROR(SEARCH("Electronics",F1)))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E2796-0853-4E09-9F50-6DBEB7CDAC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6443C-560E-4571-A154-EB1EAA9DF8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question 1</vt:lpstr>
      <vt:lpstr>question 2</vt:lpstr>
      <vt:lpstr>question3</vt:lpstr>
      <vt:lpstr>question 4</vt:lpstr>
      <vt:lpstr>question5</vt:lpstr>
      <vt:lpstr>question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Nishitha</dc:creator>
  <cp:lastModifiedBy>Nishitha KS</cp:lastModifiedBy>
  <dcterms:created xsi:type="dcterms:W3CDTF">2026-09-20T14:49:55Z</dcterms:created>
  <dcterms:modified xsi:type="dcterms:W3CDTF">2026-09-21T11:15:27Z</dcterms:modified>
</cp:coreProperties>
</file>